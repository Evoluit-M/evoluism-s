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C_2024_SD</t>
        </is>
      </c>
      <c r="C1" t="inlineStr">
        <is>
          <t>Delta_C_2024_2040_SD</t>
        </is>
      </c>
      <c r="D1" t="inlineStr">
        <is>
          <t>Beta_central</t>
        </is>
      </c>
      <c r="E1" t="inlineStr">
        <is>
          <t>Multiplier_central</t>
        </is>
      </c>
      <c r="F1" t="inlineStr">
        <is>
          <t>Beta_low</t>
        </is>
      </c>
      <c r="G1" t="inlineStr">
        <is>
          <t>Multiplier_low</t>
        </is>
      </c>
      <c r="H1" t="inlineStr">
        <is>
          <t>Beta_high</t>
        </is>
      </c>
      <c r="I1" t="inlineStr">
        <is>
          <t>Multiplier_high</t>
        </is>
      </c>
      <c r="J1" t="inlineStr">
        <is>
          <t>Exports_2024_bn</t>
        </is>
      </c>
      <c r="K1" t="inlineStr">
        <is>
          <t>Exports_2040_central_bn</t>
        </is>
      </c>
      <c r="L1" t="inlineStr">
        <is>
          <t>Exports_2040_low_bn</t>
        </is>
      </c>
      <c r="M1" t="inlineStr">
        <is>
          <t>Exports_2040_high_bn</t>
        </is>
      </c>
    </row>
    <row r="2">
      <c r="A2" t="inlineStr">
        <is>
          <t>United States</t>
        </is>
      </c>
      <c r="B2" t="n">
        <v>2.05</v>
      </c>
      <c r="C2" t="n">
        <v>1.2</v>
      </c>
      <c r="D2" t="n">
        <v>0.6899999999999999</v>
      </c>
      <c r="E2">
        <f>EXP(D2*C2)</f>
        <v/>
      </c>
      <c r="F2" t="n">
        <v>0.62</v>
      </c>
      <c r="G2">
        <f>EXP(F2*C2)</f>
        <v/>
      </c>
      <c r="H2" t="n">
        <v>0.78</v>
      </c>
      <c r="I2">
        <f>EXP(H2*C2)</f>
        <v/>
      </c>
      <c r="J2" t="n">
        <v>950</v>
      </c>
      <c r="K2">
        <f>J2*E2</f>
        <v/>
      </c>
      <c r="L2">
        <f>J2*G2</f>
        <v/>
      </c>
      <c r="M2">
        <f>J2*I2</f>
        <v/>
      </c>
    </row>
    <row r="3">
      <c r="A3" t="inlineStr">
        <is>
          <t>Israel</t>
        </is>
      </c>
      <c r="B3" t="n">
        <v>2.18</v>
      </c>
      <c r="C3" t="n">
        <v>1.2</v>
      </c>
      <c r="D3" t="n">
        <v>0.6899999999999999</v>
      </c>
      <c r="E3">
        <f>EXP(D3*C3)</f>
        <v/>
      </c>
      <c r="F3" t="n">
        <v>0.62</v>
      </c>
      <c r="G3">
        <f>EXP(F3*C3)</f>
        <v/>
      </c>
      <c r="H3" t="n">
        <v>0.78</v>
      </c>
      <c r="I3">
        <f>EXP(H3*C3)</f>
        <v/>
      </c>
      <c r="J3" t="n">
        <v>190</v>
      </c>
      <c r="K3">
        <f>J3*E3</f>
        <v/>
      </c>
      <c r="L3">
        <f>J3*G3</f>
        <v/>
      </c>
      <c r="M3">
        <f>J3*I3</f>
        <v/>
      </c>
    </row>
    <row r="4">
      <c r="A4" t="inlineStr">
        <is>
          <t>United Arab Emirates</t>
        </is>
      </c>
      <c r="B4" t="n">
        <v>0.75</v>
      </c>
      <c r="C4" t="n">
        <v>1.2</v>
      </c>
      <c r="D4" t="n">
        <v>0.6899999999999999</v>
      </c>
      <c r="E4">
        <f>EXP(D4*C4)</f>
        <v/>
      </c>
      <c r="F4" t="n">
        <v>0.62</v>
      </c>
      <c r="G4">
        <f>EXP(F4*C4)</f>
        <v/>
      </c>
      <c r="H4" t="n">
        <v>0.78</v>
      </c>
      <c r="I4">
        <f>EXP(H4*C4)</f>
        <v/>
      </c>
      <c r="J4" t="n">
        <v>215</v>
      </c>
      <c r="K4">
        <f>J4*E4</f>
        <v/>
      </c>
      <c r="L4">
        <f>J4*G4</f>
        <v/>
      </c>
      <c r="M4">
        <f>J4*I4</f>
        <v/>
      </c>
    </row>
    <row r="5">
      <c r="A5" t="inlineStr">
        <is>
          <t>Singapore</t>
        </is>
      </c>
      <c r="B5" t="n">
        <v>2.7</v>
      </c>
      <c r="C5" t="n">
        <v>1.2</v>
      </c>
      <c r="D5" t="n">
        <v>0.6899999999999999</v>
      </c>
      <c r="E5">
        <f>EXP(D5*C5)</f>
        <v/>
      </c>
      <c r="F5" t="n">
        <v>0.62</v>
      </c>
      <c r="G5">
        <f>EXP(F5*C5)</f>
        <v/>
      </c>
      <c r="H5" t="n">
        <v>0.78</v>
      </c>
      <c r="I5">
        <f>EXP(H5*C5)</f>
        <v/>
      </c>
      <c r="J5" t="n">
        <v>625</v>
      </c>
      <c r="K5">
        <f>J5*E5</f>
        <v/>
      </c>
      <c r="L5">
        <f>J5*G5</f>
        <v/>
      </c>
      <c r="M5">
        <f>J5*I5</f>
        <v/>
      </c>
    </row>
    <row r="6">
      <c r="A6" t="inlineStr">
        <is>
          <t>South Korea</t>
        </is>
      </c>
      <c r="B6" t="n">
        <v>2.55</v>
      </c>
      <c r="C6" t="n">
        <v>1.2</v>
      </c>
      <c r="D6" t="n">
        <v>0.6899999999999999</v>
      </c>
      <c r="E6">
        <f>EXP(D6*C6)</f>
        <v/>
      </c>
      <c r="F6" t="n">
        <v>0.62</v>
      </c>
      <c r="G6">
        <f>EXP(F6*C6)</f>
        <v/>
      </c>
      <c r="H6" t="n">
        <v>0.78</v>
      </c>
      <c r="I6">
        <f>EXP(H6*C6)</f>
        <v/>
      </c>
      <c r="J6" t="n">
        <v>675</v>
      </c>
      <c r="K6">
        <f>J6*E6</f>
        <v/>
      </c>
      <c r="L6">
        <f>J6*G6</f>
        <v/>
      </c>
      <c r="M6">
        <f>J6*I6</f>
        <v/>
      </c>
    </row>
    <row r="7">
      <c r="A7" t="inlineStr">
        <is>
          <t>Estonia</t>
        </is>
      </c>
      <c r="B7" t="n">
        <v>1.95</v>
      </c>
      <c r="C7" t="n">
        <v>1.2</v>
      </c>
      <c r="D7" t="n">
        <v>0.6899999999999999</v>
      </c>
      <c r="E7">
        <f>EXP(D7*C7)</f>
        <v/>
      </c>
      <c r="F7" t="n">
        <v>0.62</v>
      </c>
      <c r="G7">
        <f>EXP(F7*C7)</f>
        <v/>
      </c>
      <c r="H7" t="n">
        <v>0.78</v>
      </c>
      <c r="I7">
        <f>EXP(H7*C7)</f>
        <v/>
      </c>
      <c r="J7" t="n">
        <v>47.5</v>
      </c>
      <c r="K7">
        <f>J7*E7</f>
        <v/>
      </c>
      <c r="L7">
        <f>J7*G7</f>
        <v/>
      </c>
      <c r="M7">
        <f>J7*I7</f>
        <v/>
      </c>
    </row>
    <row r="8">
      <c r="A8" t="inlineStr">
        <is>
          <t>Japan (realistic)</t>
        </is>
      </c>
      <c r="B8" t="n">
        <v>2.65</v>
      </c>
      <c r="C8" t="n">
        <v>0.4</v>
      </c>
      <c r="D8" t="n">
        <v>0.6899999999999999</v>
      </c>
      <c r="E8">
        <f>EXP(D8*C8)</f>
        <v/>
      </c>
      <c r="F8" t="n">
        <v>0.62</v>
      </c>
      <c r="G8">
        <f>EXP(F8*C8)</f>
        <v/>
      </c>
      <c r="H8" t="n">
        <v>0.78</v>
      </c>
      <c r="I8">
        <f>EXP(H8*C8)</f>
        <v/>
      </c>
      <c r="J8" t="n">
        <v>720</v>
      </c>
      <c r="K8">
        <f>J8*E8</f>
        <v/>
      </c>
      <c r="L8">
        <f>J8*G8</f>
        <v/>
      </c>
      <c r="M8">
        <f>J8*I8</f>
        <v/>
      </c>
    </row>
    <row r="9">
      <c r="A9" t="inlineStr">
        <is>
          <t>Brazil (realistic)</t>
        </is>
      </c>
      <c r="B9" t="n">
        <v>0.55</v>
      </c>
      <c r="C9" t="n">
        <v>1</v>
      </c>
      <c r="D9" t="n">
        <v>0.6899999999999999</v>
      </c>
      <c r="E9">
        <f>EXP(D9*C9)</f>
        <v/>
      </c>
      <c r="F9" t="n">
        <v>0.62</v>
      </c>
      <c r="G9">
        <f>EXP(F9*C9)</f>
        <v/>
      </c>
      <c r="H9" t="n">
        <v>0.78</v>
      </c>
      <c r="I9">
        <f>EXP(H9*C9)</f>
        <v/>
      </c>
      <c r="J9" t="n">
        <v>150</v>
      </c>
      <c r="K9">
        <f>J9*E9</f>
        <v/>
      </c>
      <c r="L9">
        <f>J9*G9</f>
        <v/>
      </c>
      <c r="M9">
        <f>J9*I9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2025-11-19T00:25:24Z</dcterms:created>
  <dcterms:modified xmlns:dcterms="http://purl.org/dc/terms/" xmlns:xsi="http://www.w3.org/2001/XMLSchema-instance" xsi:type="dcterms:W3CDTF">2025-11-19T00:25:24Z</dcterms:modified>
</cp:coreProperties>
</file>